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6c584a779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 Record" sheetId="1" r:id="R834dfdc052ad47e9"/>
    <x:sheet xmlns:r="http://schemas.openxmlformats.org/officeDocument/2006/relationships" name="Portfolio Detail" sheetId="2" r:id="Re568fbb1e0b84066"/>
    <x:sheet xmlns:r="http://schemas.openxmlformats.org/officeDocument/2006/relationships" name="Checks" sheetId="3" r:id="R308fcf90999e4ce1"/>
    <x:sheet xmlns:r="http://schemas.openxmlformats.org/officeDocument/2006/relationships" name="Sources Audit" sheetId="4" r:id="Rbd31c9bf22ca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;[Red]($#,##0.0);-"/>
    <x:numFmt numFmtId="201" formatCode="0.0%;[Red](0.0%);-"/>
    <x:numFmt numFmtId="202" formatCode="0.00x;[Red](0.00x);-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F677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i/>
      <x:sz val="11"/>
      <x:color rgb="FF9A3412"/>
      <x:name val="Carlito"/>
    </x:font>
    <x:font>
      <x:b/>
      <x:sz val="11"/>
      <x:color rgb="FF132238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3159C7"/>
      </x:patternFill>
    </x:fill>
    <x:fill>
      <x:patternFill patternType="solid">
        <x:fgColor rgb="FFFFF7ED"/>
      </x:patternFill>
    </x:fill>
    <x:fill>
      <x:patternFill patternType="solid">
        <x:fgColor rgb="FFE7EAF0"/>
      </x:patternFill>
    </x:fill>
  </x:fills>
  <x:borders count="11">
    <x:border/>
    <x:border>
      <x:left style="thin">
        <x:color rgb="FF1D3F9A"/>
      </x:left>
      <x:top style="thin">
        <x:color rgb="FF1D3F9A"/>
      </x:top>
      <x:bottom style="thin">
        <x:color rgb="FF1D3F9A"/>
      </x:bottom>
    </x:border>
    <x:border>
      <x:top style="thin">
        <x:color rgb="FF1D3F9A"/>
      </x:top>
      <x:bottom style="thin">
        <x:color rgb="FF1D3F9A"/>
      </x:bottom>
    </x:border>
    <x:border>
      <x:right style="thin">
        <x:color rgb="FF1D3F9A"/>
      </x:right>
      <x:top style="thin">
        <x:color rgb="FF1D3F9A"/>
      </x:top>
      <x:bottom style="thin">
        <x:color rgb="FF1D3F9A"/>
      </x:bottom>
    </x:border>
    <x:border>
      <x:bottom style="thin">
        <x:color rgb="FFD8DDE7"/>
      </x:bottom>
    </x:border>
    <x:border>
      <x:top style="thin">
        <x:color rgb="FFD8DDE7"/>
      </x:top>
      <x:bottom style="thin">
        <x:color rgb="FFD8DDE7"/>
      </x:bottom>
    </x:border>
    <x:border>
      <x:top style="thin">
        <x:color rgb="FFD8DDE7"/>
      </x:top>
    </x:border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bottom style="double">
        <x:color rgb="FF132238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4" xfId="0" applyNumberFormat="1" applyFont="1" applyFill="1" applyBorder="1"/>
    <x:xf numFmtId="0" fontId="5" fillId="0" borderId="4" xfId="0" applyNumberFormat="1" applyFont="1" applyFill="1" applyBorder="1"/>
    <x:xf numFmtId="0" fontId="4" fillId="0" borderId="5" xfId="0" applyNumberFormat="1" applyFont="1" applyFill="1" applyBorder="1"/>
    <x:xf numFmtId="0" fontId="5" fillId="0" borderId="5" xfId="0" applyNumberFormat="1" applyFont="1" applyFill="1" applyBorder="1"/>
    <x:xf numFmtId="0" fontId="4" fillId="0" borderId="6" xfId="0" applyNumberFormat="1" applyFont="1" applyFill="1" applyBorder="1"/>
    <x:xf numFmtId="0" fontId="5" fillId="0" borderId="6" xfId="0" applyNumberFormat="1" applyFont="1" applyFill="1" applyBorder="1"/>
    <x:xf numFmtId="200" fontId="4" fillId="0" borderId="4" xfId="0" applyNumberFormat="1" applyFont="1" applyFill="1" applyBorder="1"/>
    <x:xf numFmtId="200" fontId="4" fillId="0" borderId="5" xfId="0" applyNumberFormat="1" applyFont="1" applyFill="1" applyBorder="1"/>
    <x:xf numFmtId="200" fontId="4" fillId="0" borderId="6" xfId="0" applyNumberFormat="1" applyFont="1" applyFill="1" applyBorder="1"/>
    <x:xf numFmtId="201" fontId="4" fillId="0" borderId="4" xfId="0" applyNumberFormat="1" applyFont="1" applyFill="1" applyBorder="1"/>
    <x:xf numFmtId="201" fontId="4" fillId="0" borderId="5" xfId="0" applyNumberFormat="1" applyFont="1" applyFill="1" applyBorder="1"/>
    <x:xf numFmtId="201" fontId="4" fillId="0" borderId="6" xfId="0" applyNumberFormat="1" applyFont="1" applyFill="1" applyBorder="1"/>
    <x:xf numFmtId="202" fontId="4" fillId="0" borderId="4" xfId="0" applyNumberFormat="1" applyFont="1" applyFill="1" applyBorder="1"/>
    <x:xf numFmtId="202" fontId="4" fillId="0" borderId="5" xfId="0" applyNumberFormat="1" applyFont="1" applyFill="1" applyBorder="1"/>
    <x:xf numFmtId="202" fontId="4" fillId="0" borderId="6" xfId="0" applyNumberFormat="1" applyFont="1" applyFill="1" applyBorder="1"/>
    <x:xf numFmtId="202" fontId="5" fillId="0" borderId="4" xfId="0" applyNumberFormat="1" applyFont="1" applyFill="1" applyBorder="1"/>
    <x:xf numFmtId="202" fontId="5" fillId="0" borderId="5" xfId="0" applyNumberFormat="1" applyFont="1" applyFill="1" applyBorder="1"/>
    <x:xf numFmtId="202" fontId="5" fillId="0" borderId="6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202" fontId="5" fillId="0" borderId="4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5" fillId="0" borderId="5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202" fontId="4" fillId="0" borderId="6" xfId="0" applyNumberFormat="1" applyFont="1" applyFill="1" applyBorder="1" applyAlignment="1">
      <x:alignment vertical="center" wrapText="1"/>
    </x:xf>
    <x:xf numFmtId="202" fontId="5" fillId="0" borderId="6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2" fontId="5" fillId="0" borderId="0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wrapText="1"/>
    </x:xf>
    <x:xf numFmtId="202" fontId="5" fillId="0" borderId="5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200" fontId="4" fillId="0" borderId="6" xfId="0" applyNumberFormat="1" applyFont="1" applyFill="1" applyBorder="1" applyAlignment="1">
      <x:alignment wrapText="1"/>
    </x:xf>
    <x:xf numFmtId="202" fontId="5" fillId="0" borderId="6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7" fillId="5" borderId="10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00c11caa7440a" /><Relationship Type="http://schemas.openxmlformats.org/officeDocument/2006/relationships/theme" Target="/xl/theme/theme1.xml" Id="R341bf6ac12e94def" /><Relationship Type="http://schemas.openxmlformats.org/officeDocument/2006/relationships/sharedStrings" Target="/xl/sharedStrings.xml" Id="Rfd0fa79b301b431c" /><Relationship Type="http://schemas.openxmlformats.org/officeDocument/2006/relationships/worksheet" Target="/xl/worksheets/sheet1.xml" Id="R834dfdc052ad47e9" /><Relationship Type="http://schemas.openxmlformats.org/officeDocument/2006/relationships/worksheet" Target="/xl/worksheets/sheet2.xml" Id="Re568fbb1e0b84066" /><Relationship Type="http://schemas.openxmlformats.org/officeDocument/2006/relationships/worksheet" Target="/xl/worksheets/sheet3.xml" Id="R308fcf90999e4ce1" /><Relationship Type="http://schemas.openxmlformats.org/officeDocument/2006/relationships/worksheet" Target="/xl/worksheets/sheet4.xml" Id="Rbd31c9bf22ca44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</x:cols>
  <x:sheetData>
    <x:row r="1" ht="30" customHeight="1">
      <x:c r="A1" s="70" t="str">
        <x:v>Hillpath Capital - Synthetic Track Record</x:v>
      </x:c>
      <x:c r="B1" s="70"/>
      <x:c r="C1" s="70"/>
      <x:c r="D1" s="70"/>
      <x:c r="E1" s="70"/>
      <x:c r="F1" s="70"/>
      <x:c r="G1" s="70"/>
      <x:c r="H1" s="70"/>
      <x:c r="I1" s="70"/>
      <x:c r="J1" s="70"/>
    </x:row>
    <x:row r="2" ht="22" customHeight="1">
      <x:c r="A2" s="71" t="str">
        <x:v>Illustrative QA fixture | USD millions | Performance as of 2026-06-30</x:v>
      </x:c>
      <x:c r="B2" s="71"/>
      <x:c r="C2" s="71"/>
      <x:c r="D2" s="71"/>
      <x:c r="E2" s="71"/>
      <x:c r="F2" s="71"/>
      <x:c r="G2" s="71"/>
      <x:c r="H2" s="71"/>
      <x:c r="I2" s="71"/>
      <x:c r="J2" s="71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</x:row>
    <x:row r="4" ht="30" customHeight="1">
      <x:c r="A4" s="45" t="str">
        <x:v>Fund</x:v>
      </x:c>
      <x:c r="B4" s="46" t="str">
        <x:v>Vintage</x:v>
      </x:c>
      <x:c r="C4" s="46" t="str">
        <x:v>Fund Size</x:v>
      </x:c>
      <x:c r="D4" s="46" t="str">
        <x:v>Net IRR</x:v>
      </x:c>
      <x:c r="E4" s="46" t="str">
        <x:v>TVPI</x:v>
      </x:c>
      <x:c r="F4" s="46" t="str">
        <x:v>DPI</x:v>
      </x:c>
      <x:c r="G4" s="46" t="str">
        <x:v>RVPI</x:v>
      </x:c>
      <x:c r="H4" s="46" t="str">
        <x:v>Loss Ratio</x:v>
      </x:c>
      <x:c r="I4" s="46" t="str">
        <x:v>TVPI Difference</x:v>
      </x:c>
      <x:c r="J4" s="47" t="str">
        <x:v>Reconciliation</x:v>
      </x:c>
    </x:row>
    <x:row r="5">
      <x:c r="A5" s="73" t="str">
        <x:v>Hillpath Fund I</x:v>
      </x:c>
      <x:c r="B5" s="73" t="n">
        <x:v>2012</x:v>
      </x:c>
      <x:c r="C5" s="74" t="n">
        <x:v>180</x:v>
      </x:c>
      <x:c r="D5" s="75" t="n">
        <x:v>0.182</x:v>
      </x:c>
      <x:c r="E5" s="76" t="n">
        <x:v>1.75</x:v>
      </x:c>
      <x:c r="F5" s="76" t="n">
        <x:v>1.55</x:v>
      </x:c>
      <x:c r="G5" s="76" t="n">
        <x:v>0.2</x:v>
      </x:c>
      <x:c r="H5" s="75" t="n">
        <x:v>0.08</x:v>
      </x:c>
      <x:c r="I5" s="77" t="n">
        <x:f>E5-(F5+G5)</x:f>
        <x:v>0</x:v>
      </x:c>
      <x:c r="J5" s="78" t="str">
        <x:f>IF(COUNT(E5:G5)&lt;3,"Not reported",IF(ABS(I5)&lt;=0.05,"Ties out","Mismatch"))</x:f>
        <x:v>Ties out</x:v>
      </x:c>
    </x:row>
    <x:row r="6">
      <x:c r="A6" s="79" t="str">
        <x:v>Hillpath Fund II</x:v>
      </x:c>
      <x:c r="B6" s="79" t="n">
        <x:v>2015</x:v>
      </x:c>
      <x:c r="C6" s="80" t="n">
        <x:v>275</x:v>
      </x:c>
      <x:c r="D6" s="81" t="n">
        <x:v>0.214</x:v>
      </x:c>
      <x:c r="E6" s="82" t="n">
        <x:v>1.92</x:v>
      </x:c>
      <x:c r="F6" s="82" t="n">
        <x:v>1.25</x:v>
      </x:c>
      <x:c r="G6" s="82" t="n">
        <x:v>0.67</x:v>
      </x:c>
      <x:c r="H6" s="81" t="n">
        <x:v>0.06</x:v>
      </x:c>
      <x:c r="I6" s="83" t="n">
        <x:f>E6-(F6+G6)</x:f>
        <x:v>0</x:v>
      </x:c>
      <x:c r="J6" s="84" t="str">
        <x:f>IF(COUNT(E6:G6)&lt;3,"Not reported",IF(ABS(I6)&lt;=0.05,"Ties out","Mismatch"))</x:f>
        <x:v>Ties out</x:v>
      </x:c>
    </x:row>
    <x:row r="7">
      <x:c r="A7" s="79" t="str">
        <x:v>Hillpath Fund III</x:v>
      </x:c>
      <x:c r="B7" s="79" t="n">
        <x:v>2019</x:v>
      </x:c>
      <x:c r="C7" s="80" t="n">
        <x:v>400</x:v>
      </x:c>
      <x:c r="D7" s="81" t="n">
        <x:v>0.168</x:v>
      </x:c>
      <x:c r="E7" s="82" t="n">
        <x:v>1.5</x:v>
      </x:c>
      <x:c r="F7" s="82" t="n">
        <x:v>0.48</x:v>
      </x:c>
      <x:c r="G7" s="82" t="n">
        <x:v>1.08</x:v>
      </x:c>
      <x:c r="H7" s="81" t="n">
        <x:v>0.14</x:v>
      </x:c>
      <x:c r="I7" s="83" t="n">
        <x:f>E7-(F7+G7)</x:f>
        <x:v>-0.06000000000000005</x:v>
      </x:c>
      <x:c r="J7" s="84" t="str">
        <x:f>IF(COUNT(E7:G7)&lt;3,"Not reported",IF(ABS(I7)&lt;=0.05,"Ties out","Mismatch"))</x:f>
        <x:v>Mismatch</x:v>
      </x:c>
    </x:row>
    <x:row r="8">
      <x:c r="A8" s="85" t="str">
        <x:v>Hillpath Fund IV</x:v>
      </x:c>
      <x:c r="B8" s="85" t="n">
        <x:v>2026</x:v>
      </x:c>
      <x:c r="C8" s="86" t="n">
        <x:v>650</x:v>
      </x:c>
      <x:c r="D8" s="87"/>
      <x:c r="E8" s="88"/>
      <x:c r="F8" s="88"/>
      <x:c r="G8" s="88"/>
      <x:c r="H8" s="87"/>
      <x:c r="I8" s="89" t="n">
        <x:f>E8-(F8+G8)</x:f>
        <x:v>0</x:v>
      </x:c>
      <x:c r="J8" s="90" t="str">
        <x:f>IF(COUNT(E8:G8)&lt;3,"Not reported",IF(ABS(I8)&lt;=0.05,"Ties out","Mismatch"))</x:f>
        <x:v>Not reported</x:v>
      </x:c>
    </x:row>
    <x:row r="9">
      <x:c r="A9" s="72"/>
      <x:c r="B9" s="72"/>
      <x:c r="C9" s="72"/>
      <x:c r="D9" s="72"/>
      <x:c r="E9" s="72"/>
      <x:c r="F9" s="72"/>
      <x:c r="G9" s="72"/>
      <x:c r="H9" s="72"/>
      <x:c r="I9" s="72"/>
      <x:c r="J9" s="72"/>
    </x:row>
    <x:row r="10" ht="34" customHeight="1">
      <x:c r="A10" s="66" t="str">
        <x:v>Review flags: Fund III reported TVPI of 1.50x, while DPI plus RVPI equals 1.56x. Fund IV target size is 62.5% above Fund III.</x:v>
      </x:c>
      <x:c r="B10" s="67"/>
      <x:c r="C10" s="67"/>
      <x:c r="D10" s="67"/>
      <x:c r="E10" s="67"/>
      <x:c r="F10" s="67"/>
      <x:c r="G10" s="67"/>
      <x:c r="H10" s="67"/>
      <x:c r="I10" s="67"/>
      <x:c r="J10" s="68"/>
    </x:row>
    <x:row r="11">
      <x:c r="A11" s="72"/>
      <x:c r="B11" s="72"/>
      <x:c r="C11" s="72"/>
      <x:c r="D11" s="72"/>
      <x:c r="E11" s="72"/>
      <x:c r="F11" s="72"/>
      <x:c r="G11" s="72"/>
      <x:c r="H11" s="72"/>
      <x:c r="I11" s="72"/>
      <x:c r="J11" s="72"/>
    </x:row>
    <x:row r="12">
      <x:c r="A12" s="91" t="str">
        <x:v>Legend</x:v>
      </x:c>
      <x:c r="B12" s="91" t="str">
        <x:v>Meaning</x:v>
      </x:c>
      <x:c r="C12" s="91" t="str">
        <x:v>Style</x:v>
      </x:c>
      <x:c r="D12" s="72"/>
      <x:c r="E12" s="72"/>
      <x:c r="F12" s="72"/>
      <x:c r="G12" s="72"/>
      <x:c r="H12" s="72"/>
      <x:c r="I12" s="72"/>
      <x:c r="J12" s="72"/>
    </x:row>
    <x:row r="13">
      <x:c r="A13" s="72" t="str">
        <x:v>Input</x:v>
      </x:c>
      <x:c r="B13" s="72" t="str">
        <x:v>Synthetic reported value</x:v>
      </x:c>
      <x:c r="C13" s="72" t="str">
        <x:v>Blue font</x:v>
      </x:c>
      <x:c r="D13" s="72"/>
      <x:c r="E13" s="72"/>
      <x:c r="F13" s="72"/>
      <x:c r="G13" s="72"/>
      <x:c r="H13" s="72"/>
      <x:c r="I13" s="72"/>
      <x:c r="J13" s="72"/>
    </x:row>
    <x:row r="14">
      <x:c r="A14" s="72" t="str">
        <x:v>Formula</x:v>
      </x:c>
      <x:c r="B14" s="72" t="str">
        <x:v>Calculated check</x:v>
      </x:c>
      <x:c r="C14" s="72" t="str">
        <x:v>Black font</x:v>
      </x:c>
      <x:c r="D14" s="72"/>
      <x:c r="E14" s="72"/>
      <x:c r="F14" s="72"/>
      <x:c r="G14" s="72"/>
      <x:c r="H14" s="72"/>
      <x:c r="I14" s="72"/>
      <x:c r="J14" s="72"/>
    </x:row>
    <x:row r="15">
      <x:c r="A15" s="72" t="str">
        <x:v>Warning</x:v>
      </x:c>
      <x:c r="B15" s="72" t="str">
        <x:v>Analyst review required</x:v>
      </x:c>
      <x:c r="C15" s="72" t="str">
        <x:v>Orange/red fill</x:v>
      </x:c>
      <x:c r="D15" s="72"/>
      <x:c r="E15" s="72"/>
      <x:c r="F15" s="72"/>
      <x:c r="G15" s="72"/>
      <x:c r="H15" s="72"/>
      <x:c r="I15" s="72"/>
      <x:c r="J15" s="72"/>
    </x:row>
  </x:sheetData>
  <x:mergeCells>
    <x:mergeCell ref="A1:J1"/>
    <x:mergeCell ref="A2:J2"/>
    <x:mergeCell ref="A10:J10"/>
  </x:mergeCells>
  <x:conditionalFormatting sqref="J5:J8">
    <x:cfRule type="containsText" dxfId="0" priority="1" operator="containsText" text="Mismatch"/>
    <x:cfRule type="containsText" dxfId="1" priority="2" operator="containsText" text="Ties ou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38" hidden="0" customWidth="1"/>
  </x:cols>
  <x:sheetData>
    <x:row r="1" ht="30" customHeight="1">
      <x:c r="A1" s="97" t="str">
        <x:v>Fund III Portfolio Detail - Synthetic</x:v>
      </x:c>
      <x:c r="B1" s="97"/>
      <x:c r="C1" s="97"/>
      <x:c r="D1" s="97"/>
      <x:c r="E1" s="97"/>
      <x:c r="F1" s="97"/>
      <x:c r="G1" s="97"/>
      <x:c r="H1" s="97"/>
    </x:row>
    <x:row r="2">
      <x:c r="A2" s="98"/>
      <x:c r="B2" s="98"/>
      <x:c r="C2" s="98"/>
      <x:c r="D2" s="98"/>
      <x:c r="E2" s="98"/>
      <x:c r="F2" s="98"/>
      <x:c r="G2" s="98"/>
      <x:c r="H2" s="98"/>
    </x:row>
    <x:row r="3" ht="30" customHeight="1">
      <x:c r="A3" s="96" t="str">
        <x:v>Company</x:v>
      </x:c>
      <x:c r="B3" s="96" t="str">
        <x:v>Sector</x:v>
      </x:c>
      <x:c r="C3" s="96" t="str">
        <x:v>Invested Cost</x:v>
      </x:c>
      <x:c r="D3" s="96" t="str">
        <x:v>Realized Proceeds</x:v>
      </x:c>
      <x:c r="E3" s="96" t="str">
        <x:v>Current NAV</x:v>
      </x:c>
      <x:c r="F3" s="96" t="str">
        <x:v>Gross MOIC</x:v>
      </x:c>
      <x:c r="G3" s="96" t="str">
        <x:v>Status</x:v>
      </x:c>
      <x:c r="H3" s="96" t="str">
        <x:v>Valuation Note</x:v>
      </x:c>
    </x:row>
    <x:row r="4">
      <x:c r="A4" s="99" t="str">
        <x:v>BeaconWorks</x:v>
      </x:c>
      <x:c r="B4" s="99" t="str">
        <x:v>Vertical software</x:v>
      </x:c>
      <x:c r="C4" s="100" t="n">
        <x:v>42</x:v>
      </x:c>
      <x:c r="D4" s="100" t="n">
        <x:v>88</x:v>
      </x:c>
      <x:c r="E4" s="100" t="n">
        <x:v>0</x:v>
      </x:c>
      <x:c r="F4" s="101" t="n">
        <x:f>(D4+E4)/C4</x:f>
        <x:v>2.0952380952380953</x:v>
      </x:c>
      <x:c r="G4" s="102" t="str">
        <x:v>Realized</x:v>
      </x:c>
      <x:c r="H4" s="102" t="str">
        <x:v>Sold to strategic buyer in 2024</x:v>
      </x:c>
    </x:row>
    <x:row r="5">
      <x:c r="A5" s="99" t="str">
        <x:v>CedarCloud</x:v>
      </x:c>
      <x:c r="B5" s="99" t="str">
        <x:v>Managed services</x:v>
      </x:c>
      <x:c r="C5" s="100" t="n">
        <x:v>38</x:v>
      </x:c>
      <x:c r="D5" s="100" t="n">
        <x:v>18</x:v>
      </x:c>
      <x:c r="E5" s="100" t="n">
        <x:v>52</x:v>
      </x:c>
      <x:c r="F5" s="101" t="n">
        <x:f>(D5+E5)/C5</x:f>
        <x:v>1.8421052631578947</x:v>
      </x:c>
      <x:c r="G5" s="102" t="str">
        <x:v>Partially realized</x:v>
      </x:c>
      <x:c r="H5" s="102" t="str">
        <x:v>2026 budget EBITDA includes $3m add-back</x:v>
      </x:c>
    </x:row>
    <x:row r="6">
      <x:c r="A6" s="99" t="str">
        <x:v>Northstar Data</x:v>
      </x:c>
      <x:c r="B6" s="99" t="str">
        <x:v>Data infrastructure</x:v>
      </x:c>
      <x:c r="C6" s="100" t="n">
        <x:v>51</x:v>
      </x:c>
      <x:c r="D6" s="100" t="n">
        <x:v>0</x:v>
      </x:c>
      <x:c r="E6" s="100" t="n">
        <x:v>79</x:v>
      </x:c>
      <x:c r="F6" s="101" t="n">
        <x:f>(D6+E6)/C6</x:f>
        <x:v>1.5490196078431373</x:v>
      </x:c>
      <x:c r="G6" s="102" t="str">
        <x:v>Unrealized</x:v>
      </x:c>
      <x:c r="H6" s="102" t="str">
        <x:v>Marked at 13.5x LTM EBITDA</x:v>
      </x:c>
    </x:row>
    <x:row r="7">
      <x:c r="A7" s="99" t="str">
        <x:v>Redwood Compliance</x:v>
      </x:c>
      <x:c r="B7" s="99" t="str">
        <x:v>Governance software</x:v>
      </x:c>
      <x:c r="C7" s="100" t="n">
        <x:v>34</x:v>
      </x:c>
      <x:c r="D7" s="100" t="n">
        <x:v>0</x:v>
      </x:c>
      <x:c r="E7" s="100" t="n">
        <x:v>19</x:v>
      </x:c>
      <x:c r="F7" s="101" t="n">
        <x:f>(D7+E7)/C7</x:f>
        <x:v>0.5588235294117647</x:v>
      </x:c>
      <x:c r="G7" s="102" t="str">
        <x:v>Unrealized</x:v>
      </x:c>
      <x:c r="H7" s="102" t="str">
        <x:v>Below-cost holding</x:v>
      </x:c>
    </x:row>
    <x:row r="8">
      <x:c r="A8" s="103" t="str">
        <x:v>AtlasCX</x:v>
      </x:c>
      <x:c r="B8" s="103" t="str">
        <x:v>Customer experience</x:v>
      </x:c>
      <x:c r="C8" s="104" t="n">
        <x:v>29</x:v>
      </x:c>
      <x:c r="D8" s="104" t="n">
        <x:v>0</x:v>
      </x:c>
      <x:c r="E8" s="104" t="n">
        <x:v>0</x:v>
      </x:c>
      <x:c r="F8" s="105" t="n">
        <x:f>(D8+E8)/C8</x:f>
        <x:v>0</x:v>
      </x:c>
      <x:c r="G8" s="106" t="str">
        <x:v>Written off</x:v>
      </x:c>
      <x:c r="H8" s="106" t="str">
        <x:v>Loss recognized in 2025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30" customHeight="1">
      <x:c r="A1" s="97" t="str">
        <x:v>Track Record Checks</x:v>
      </x:c>
      <x:c r="B1" s="97"/>
      <x:c r="C1" s="97"/>
      <x:c r="D1" s="97"/>
      <x:c r="E1" s="97"/>
      <x:c r="F1" s="97"/>
      <x:c r="G1" s="97"/>
    </x:row>
    <x:row r="2">
      <x:c r="A2" s="98"/>
      <x:c r="B2" s="98"/>
      <x:c r="C2" s="98"/>
      <x:c r="D2" s="98"/>
      <x:c r="E2" s="98"/>
      <x:c r="F2" s="98"/>
      <x:c r="G2" s="98"/>
    </x:row>
    <x:row r="3">
      <x:c r="A3" s="93" t="str">
        <x:v>Check</x:v>
      </x:c>
      <x:c r="B3" s="93" t="str">
        <x:v>Actual</x:v>
      </x:c>
      <x:c r="C3" s="93" t="str">
        <x:v>Expected</x:v>
      </x:c>
      <x:c r="D3" s="93" t="str">
        <x:v>Difference</x:v>
      </x:c>
      <x:c r="E3" s="93" t="str">
        <x:v>Tolerance</x:v>
      </x:c>
      <x:c r="F3" s="93" t="str">
        <x:v>Status</x:v>
      </x:c>
      <x:c r="G3" s="93" t="str">
        <x:v>Notes</x:v>
      </x:c>
    </x:row>
    <x:row r="4">
      <x:c r="A4" s="98" t="str">
        <x:v>Fund I TVPI tie-out</x:v>
      </x:c>
      <x:c r="B4" s="109" t="n">
        <x:f>'Track Record'!E5</x:f>
        <x:v>1.75</x:v>
      </x:c>
      <x:c r="C4" s="109" t="n">
        <x:f>'Track Record'!F5+'Track Record'!G5</x:f>
        <x:v>1.75</x:v>
      </x:c>
      <x:c r="D4" s="109" t="n">
        <x:f>B4-C4</x:f>
        <x:v>0</x:v>
      </x:c>
      <x:c r="E4" s="109" t="n">
        <x:v>0.05</x:v>
      </x:c>
      <x:c r="F4" s="98" t="str">
        <x:f>IF(ABS(D4)&lt;=E4,"OK","FAIL")</x:f>
        <x:v>OK</x:v>
      </x:c>
      <x:c r="G4" s="98" t="str">
        <x:v>Reported TVPI should equal DPI plus RVPI</x:v>
      </x:c>
    </x:row>
    <x:row r="5">
      <x:c r="A5" s="98" t="str">
        <x:v>Fund II TVPI tie-out</x:v>
      </x:c>
      <x:c r="B5" s="109" t="n">
        <x:f>'Track Record'!E6</x:f>
        <x:v>1.92</x:v>
      </x:c>
      <x:c r="C5" s="109" t="n">
        <x:f>'Track Record'!F6+'Track Record'!G6</x:f>
        <x:v>1.92</x:v>
      </x:c>
      <x:c r="D5" s="109" t="n">
        <x:f>B5-C5</x:f>
        <x:v>0</x:v>
      </x:c>
      <x:c r="E5" s="109" t="n">
        <x:v>0.05</x:v>
      </x:c>
      <x:c r="F5" s="98" t="str">
        <x:f>IF(ABS(D5)&lt;=E5,"OK","FAIL")</x:f>
        <x:v>OK</x:v>
      </x:c>
      <x:c r="G5" s="98" t="str">
        <x:v>Reported TVPI should equal DPI plus RVPI</x:v>
      </x:c>
    </x:row>
    <x:row r="6">
      <x:c r="A6" s="98" t="str">
        <x:v>Fund III TVPI tie-out</x:v>
      </x:c>
      <x:c r="B6" s="109" t="n">
        <x:f>'Track Record'!E7</x:f>
        <x:v>1.5</x:v>
      </x:c>
      <x:c r="C6" s="109" t="n">
        <x:f>'Track Record'!F7+'Track Record'!G7</x:f>
        <x:v>1.56</x:v>
      </x:c>
      <x:c r="D6" s="109" t="n">
        <x:f>B6-C6</x:f>
        <x:v>-0.06000000000000005</x:v>
      </x:c>
      <x:c r="E6" s="109" t="n">
        <x:v>0.05</x:v>
      </x:c>
      <x:c r="F6" s="98" t="str">
        <x:f>IF(ABS(D6)&lt;=E6,"OK","FAIL")</x:f>
        <x:v>FAIL</x:v>
      </x:c>
      <x:c r="G6" s="98" t="str">
        <x:v>Intentional synthetic mismatch for QA</x:v>
      </x:c>
    </x:row>
    <x:row r="7">
      <x:c r="A7" s="98"/>
      <x:c r="B7" s="98"/>
      <x:c r="C7" s="98"/>
      <x:c r="D7" s="98"/>
      <x:c r="E7" s="98"/>
      <x:c r="F7" s="98"/>
      <x:c r="G7" s="98"/>
    </x:row>
    <x:row r="8">
      <x:c r="A8" s="110" t="str">
        <x:v>Overall model status</x:v>
      </x:c>
      <x:c r="B8" s="110"/>
      <x:c r="C8" s="110"/>
      <x:c r="D8" s="110"/>
      <x:c r="E8" s="110"/>
      <x:c r="F8" s="110" t="str">
        <x:f>IF(COUNTIF(F4:F6,"FAIL")&gt;0,"REVIEW","OK")</x:f>
        <x:v>REVIEW</x:v>
      </x:c>
      <x:c r="G8" s="98"/>
    </x:row>
  </x:sheetData>
  <x:mergeCells>
    <x:mergeCell ref="A1:G1"/>
    <x:mergeCell ref="A8:E8"/>
  </x:mergeCells>
  <x:conditionalFormatting sqref="F4:F8">
    <x:cfRule type="containsText" dxfId="2" priority="1" operator="containsText" text="FAIL"/>
    <x:cfRule type="containsText" dxfId="3" priority="2" operator="containsText" text="OK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</x:cols>
  <x:sheetData>
    <x:row r="1" ht="30" customHeight="1">
      <x:c r="A1" s="92" t="str">
        <x:v>Sources and Audit Notes</x:v>
      </x:c>
      <x:c r="B1" s="92"/>
      <x:c r="C1" s="92"/>
      <x:c r="D1" s="92"/>
      <x:c r="E1" s="92"/>
      <x:c r="F1" s="92"/>
    </x:row>
    <x:row r="3">
      <x:c r="A3" s="93" t="str">
        <x:v>Item</x:v>
      </x:c>
      <x:c r="B3" s="93" t="str">
        <x:v>Value</x:v>
      </x:c>
      <x:c r="C3" s="93" t="str">
        <x:v>Units</x:v>
      </x:c>
      <x:c r="D3" s="93" t="str">
        <x:v>As of</x:v>
      </x:c>
      <x:c r="E3" s="93" t="str">
        <x:v>Source</x:v>
      </x:c>
      <x:c r="F3" s="93" t="str">
        <x:v>Notes</x:v>
      </x:c>
    </x:row>
    <x:row r="4">
      <x:c r="A4" s="98" t="str">
        <x:v>Fund I-III performance</x:v>
      </x:c>
      <x:c r="B4" s="98" t="str">
        <x:v>Illustrative</x:v>
      </x:c>
      <x:c r="C4" s="98" t="str">
        <x:v>USD mm / multiples</x:v>
      </x:c>
      <x:c r="D4" s="98" t="str">
        <x:v>2026-06-30</x:v>
      </x:c>
      <x:c r="E4" s="98" t="str">
        <x:v>Synthetic QA fixture</x:v>
      </x:c>
      <x:c r="F4" s="98" t="str">
        <x:v>Not based on an actual manager</x:v>
      </x:c>
    </x:row>
    <x:row r="5">
      <x:c r="A5" s="98" t="str">
        <x:v>Fund IV target</x:v>
      </x:c>
      <x:c r="B5" s="98" t="n">
        <x:v>650</x:v>
      </x:c>
      <x:c r="C5" s="98" t="str">
        <x:v>USD mm</x:v>
      </x:c>
      <x:c r="D5" s="98" t="str">
        <x:v>2026-06-30</x:v>
      </x:c>
      <x:c r="E5" s="98" t="str">
        <x:v>Synthetic DDQ/PPM fixture</x:v>
      </x:c>
      <x:c r="F5" s="98" t="str">
        <x:v>62.5% above Fund III</x:v>
      </x:c>
    </x:row>
    <x:row r="6">
      <x:c r="A6" s="98" t="str">
        <x:v>Fund III TVPI</x:v>
      </x:c>
      <x:c r="B6" s="98" t="n">
        <x:v>1.5</x:v>
      </x:c>
      <x:c r="C6" s="98" t="str">
        <x:v>multiple</x:v>
      </x:c>
      <x:c r="D6" s="98" t="str">
        <x:v>2026-06-30</x:v>
      </x:c>
      <x:c r="E6" s="98" t="str">
        <x:v>Synthetic QA fixture</x:v>
      </x:c>
      <x:c r="F6" s="98" t="str">
        <x:v>Intentional mismatch versus DPI + RVPI</x:v>
      </x:c>
    </x:row>
    <x:row r="7">
      <x:c r="A7" s="98" t="str">
        <x:v>Fund III DPI</x:v>
      </x:c>
      <x:c r="B7" s="98" t="n">
        <x:v>0.48</x:v>
      </x:c>
      <x:c r="C7" s="98" t="str">
        <x:v>multiple</x:v>
      </x:c>
      <x:c r="D7" s="98" t="str">
        <x:v>2026-06-30</x:v>
      </x:c>
      <x:c r="E7" s="98" t="str">
        <x:v>Synthetic QA fixture</x:v>
      </x:c>
      <x:c r="F7" s="98" t="str">
        <x:v>Illustrative only</x:v>
      </x:c>
    </x:row>
    <x:row r="8">
      <x:c r="A8" s="98" t="str">
        <x:v>Fund III RVPI</x:v>
      </x:c>
      <x:c r="B8" s="98" t="n">
        <x:v>1.08</x:v>
      </x:c>
      <x:c r="C8" s="98" t="str">
        <x:v>multiple</x:v>
      </x:c>
      <x:c r="D8" s="98" t="str">
        <x:v>2026-06-30</x:v>
      </x:c>
      <x:c r="E8" s="98" t="str">
        <x:v>Synthetic QA fixture</x:v>
      </x:c>
      <x:c r="F8" s="98" t="str">
        <x:v>Illustrative only</x:v>
      </x:c>
    </x:row>
  </x:sheetData>
  <x:mergeCells>
    <x:mergeCell ref="A1:F1"/>
  </x:mergeCells>
  <x:pageMargins left="0.7" right="0.7" top="0.75" bottom="0.75" header="0.3" footer="0.3"/>
</x:worksheet>
</file>